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E22366DB-65F6-4742-9E76-DE9A06A4956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Inputs" sheetId="2" r:id="rId2"/>
    <sheet name="Calculations" sheetId="3" r:id="rId3"/>
  </sheets>
  <definedNames>
    <definedName name="_xlnm._FilterDatabase" localSheetId="2" hidden="1">Calculations!$A$3:$D$13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3" i="3"/>
  <c r="B12" i="3"/>
  <c r="C7" i="3"/>
  <c r="B7" i="3"/>
  <c r="C5" i="3"/>
  <c r="C9" i="3" s="1"/>
  <c r="B5" i="3"/>
  <c r="B9" i="3" s="1"/>
  <c r="B10" i="3" l="1"/>
  <c r="E5" i="1" s="1"/>
  <c r="C10" i="3"/>
  <c r="C5" i="1"/>
  <c r="B11" i="1"/>
  <c r="A5" i="1"/>
</calcChain>
</file>

<file path=xl/sharedStrings.xml><?xml version="1.0" encoding="utf-8"?>
<sst xmlns="http://schemas.openxmlformats.org/spreadsheetml/2006/main" count="56" uniqueCount="48">
  <si>
    <t>PROPERTY SALE STRATEGY DASHBOARD</t>
  </si>
  <si>
    <t>Preliminary calculator estimates | KRW | Not independently verified</t>
  </si>
  <si>
    <t>STRATEGY A TAX</t>
  </si>
  <si>
    <t>STRATEGY B TAX</t>
  </si>
  <si>
    <t>TAX DIFFERENCE (B − A)</t>
  </si>
  <si>
    <t>Strategy</t>
  </si>
  <si>
    <t>Estimated Combined Tax (KRW)</t>
  </si>
  <si>
    <t>Strategy A</t>
  </si>
  <si>
    <t>Strategy B</t>
  </si>
  <si>
    <t>Preliminary calculator estimates only. Actual tax treatment, deductions, eligibility, and sale-date rules have not been independently verified.</t>
  </si>
  <si>
    <t>PROPERTY SALE STRATEGY ANALYSIS — INPUTS</t>
  </si>
  <si>
    <t>Editable assumptions and preliminary calculator outputs. Currency: KRW.</t>
  </si>
  <si>
    <t>Property</t>
  </si>
  <si>
    <t>Acquisition Date</t>
  </si>
  <si>
    <t>Acquisition Price (KRW)</t>
  </si>
  <si>
    <t>Assumed Sale Price (KRW)</t>
  </si>
  <si>
    <t>Deductible Expenses (KRW)</t>
  </si>
  <si>
    <t>Estimated Calculator Tax (KRW)</t>
  </si>
  <si>
    <t>Hillstate</t>
  </si>
  <si>
    <t>2018-01-30</t>
  </si>
  <si>
    <t>Jungang Heights</t>
  </si>
  <si>
    <t>2008-09-16</t>
  </si>
  <si>
    <t>Second-sale calculator outputs (scenario-specific)</t>
  </si>
  <si>
    <t>Scenario</t>
  </si>
  <si>
    <t>Sale Year</t>
  </si>
  <si>
    <t>Estimated Tax (KRW)</t>
  </si>
  <si>
    <t>Jungang Heights sold second (Strategy A)</t>
  </si>
  <si>
    <t>Hillstate sold second (Strategy B)</t>
  </si>
  <si>
    <t>Important note</t>
  </si>
  <si>
    <t>All tax values are preliminary calculator estimates, not independently verified tax liabilities. Scenario assumptions and eligibility must be verified.</t>
  </si>
  <si>
    <t>STRATEGY CALCULATIONS</t>
  </si>
  <si>
    <t>Property sale scenarios | Preliminary calculator estimates | Currency: KRW</t>
  </si>
  <si>
    <t>Metric</t>
  </si>
  <si>
    <t>Notes</t>
  </si>
  <si>
    <t>First property sold in 2026</t>
  </si>
  <si>
    <t>Sale order scenario</t>
  </si>
  <si>
    <t>Estimated tax on first sale</t>
  </si>
  <si>
    <t>Preliminary calculator estimate</t>
  </si>
  <si>
    <t>Second property sold in 2027</t>
  </si>
  <si>
    <t>Estimated tax on second sale</t>
  </si>
  <si>
    <t>Preliminary calculator estimate for the second sale</t>
  </si>
  <si>
    <t>Combined estimated tax</t>
  </si>
  <si>
    <t>Sum of the two sale estimates</t>
  </si>
  <si>
    <t>Difference (Strategy B - A)</t>
  </si>
  <si>
    <t>Positive amount means Strategy B has higher estimated tax</t>
  </si>
  <si>
    <t>Hillstate assumed capital gain</t>
  </si>
  <si>
    <t>Sale price − acquisition price − assumed expenses</t>
  </si>
  <si>
    <t>Jungang Heights assumed capital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</si>
</sst>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₩&quot;#,##0;[Red]\(&quot;₩&quot;#,##0\)"/>
    <numFmt numFmtId="165" formatCode="&quot;₩&quot;#,##0"/>
  </numFmts>
  <fonts count="1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0"/>
      <color rgb="FFFFFFFF"/>
      <name val="Calibri"/>
    </font>
    <font>
      <b/>
      <sz val="16"/>
      <color rgb="FF0F9D8A"/>
      <name val="Calibri"/>
    </font>
    <font>
      <b/>
      <sz val="16"/>
      <color rgb="FF4472C4"/>
      <name val="Calibri"/>
    </font>
    <font>
      <b/>
      <sz val="16"/>
      <color rgb="FFBF9000"/>
      <name val="Calibri"/>
    </font>
    <font>
      <b/>
      <sz val="18"/>
      <color rgb="FFFFFFFF"/>
      <name val="Aptos Display"/>
    </font>
    <font>
      <i/>
      <sz val="10"/>
      <color rgb="FF64748B"/>
      <name val="Aptos"/>
    </font>
    <font>
      <b/>
      <sz val="10"/>
      <color rgb="FFFFFFFF"/>
      <name val="Aptos"/>
    </font>
    <font>
      <sz val="10"/>
      <color rgb="FF243247"/>
      <name val="Aptos"/>
    </font>
    <font>
      <b/>
      <sz val="10"/>
      <color rgb="FF0F766E"/>
      <name val="Aptos"/>
    </font>
    <font>
      <b/>
      <sz val="10"/>
      <color rgb="FF17365D"/>
      <name val="Aptos"/>
    </font>
    <font>
      <b/>
      <sz val="16"/>
      <color rgb="FFFFFFFF"/>
      <name val="Aptos Display"/>
    </font>
    <font>
      <b/>
      <sz val="10"/>
      <color rgb="FF9C0006"/>
      <name val="Aptos"/>
    </font>
    <font>
      <b/>
      <sz val="20"/>
      <color rgb="FFFFFFFF"/>
      <name val="Aptos Display"/>
    </font>
    <font>
      <i/>
      <sz val="10"/>
      <color rgb="FF9C0006"/>
      <name val="Aptos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0F9D8A"/>
      </patternFill>
    </fill>
    <fill>
      <patternFill patternType="solid">
        <fgColor rgb="FFDDEFEA"/>
      </patternFill>
    </fill>
    <fill>
      <patternFill patternType="solid">
        <fgColor rgb="FFD9EAF7"/>
      </patternFill>
    </fill>
    <fill>
      <patternFill patternType="solid">
        <fgColor rgb="FFBF9000"/>
      </patternFill>
    </fill>
    <fill>
      <patternFill patternType="solid">
        <fgColor rgb="FFFFF2CC"/>
      </patternFill>
    </fill>
    <fill>
      <patternFill patternType="solid">
        <fgColor rgb="FFF1F5F9"/>
      </patternFill>
    </fill>
    <fill>
      <patternFill patternType="solid">
        <fgColor rgb="FFEAF2F8"/>
      </patternFill>
    </fill>
  </fills>
  <borders count="7">
    <border>
      <left/>
      <right/>
      <top/>
      <bottom/>
      <diagonal/>
    </border>
    <border>
      <left/>
      <right/>
      <top/>
      <bottom style="thin">
        <color rgb="FFD6DEE8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0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65" fontId="10" fillId="0" borderId="3" xfId="0" applyNumberFormat="1" applyFont="1" applyBorder="1" applyAlignment="1">
      <alignment vertical="center" wrapText="1"/>
    </xf>
    <xf numFmtId="0" fontId="0" fillId="0" borderId="1" xfId="0" applyBorder="1"/>
    <xf numFmtId="0" fontId="10" fillId="10" borderId="3" xfId="0" applyFont="1" applyFill="1" applyBorder="1" applyAlignment="1">
      <alignment vertical="center" wrapText="1"/>
    </xf>
    <xf numFmtId="0" fontId="10" fillId="10" borderId="3" xfId="0" applyFont="1" applyFill="1" applyBorder="1" applyAlignment="1">
      <alignment horizontal="right" vertical="center"/>
    </xf>
    <xf numFmtId="164" fontId="10" fillId="0" borderId="3" xfId="0" applyNumberFormat="1" applyFont="1" applyBorder="1" applyAlignment="1">
      <alignment horizontal="right" vertical="center"/>
    </xf>
    <xf numFmtId="0" fontId="11" fillId="6" borderId="4" xfId="0" applyFont="1" applyFill="1" applyBorder="1" applyAlignment="1">
      <alignment vertical="center" wrapText="1"/>
    </xf>
    <xf numFmtId="164" fontId="11" fillId="6" borderId="4" xfId="0" applyNumberFormat="1" applyFont="1" applyFill="1" applyBorder="1" applyAlignment="1">
      <alignment horizontal="right" vertical="center"/>
    </xf>
    <xf numFmtId="0" fontId="12" fillId="11" borderId="5" xfId="0" applyFont="1" applyFill="1" applyBorder="1" applyAlignment="1">
      <alignment vertical="center" wrapText="1"/>
    </xf>
    <xf numFmtId="164" fontId="12" fillId="11" borderId="5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8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164" fontId="6" fillId="9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4" fillId="4" borderId="6" xfId="0" applyFont="1" applyFill="1" applyBorder="1" applyAlignment="1">
      <alignment vertical="top" wrapText="1"/>
    </xf>
    <xf numFmtId="0" fontId="13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17" fillId="0" borderId="1" xfId="0" applyFont="1" applyBorder="1" applyAlignment="1">
      <alignment vertical="center" wrapText="1"/>
    </xf>
    <xf numFmtId="165" fontId="17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/>
    <xf numFmtId="0" fontId="9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Estimated Combined Tax by Strategy</a:t>
            </a:r>
          </a:p>
        </c:rich>
      </c:tx>
      <c:layout>
        <c:manualLayout>
          <c:xMode val="edge"/>
          <c:yMode val="edge"/>
          <c:x val="0.30233095238095231"/>
          <c:y val="1.0583333333333333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Estimated Combined Tax (KRW)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Dashboard!$A$10:$A$11</c:f>
              <c:strCache>
                <c:ptCount val="2"/>
                <c:pt idx="0">
                  <c:v>Strategy A</c:v>
                </c:pt>
                <c:pt idx="1">
                  <c:v>Strategy B</c:v>
                </c:pt>
              </c:strCache>
            </c:strRef>
          </c:cat>
          <c:val>
            <c:numRef>
              <c:f>Dashboard!$B$10:$B$11</c:f>
              <c:numCache>
                <c:formatCode>"₩"#,##0</c:formatCode>
                <c:ptCount val="2"/>
                <c:pt idx="0">
                  <c:v>1763905600</c:v>
                </c:pt>
                <c:pt idx="1">
                  <c:v>1903081400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2-4384-BD6E-5EA45580C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Estimated Tax (KRW)</a:t>
                </a:r>
              </a:p>
            </c:rich>
          </c:tx>
          <c:layout>
            <c:manualLayout>
              <c:xMode val="edge"/>
              <c:yMode val="edge"/>
              <c:x val="0.39019146825396828"/>
              <c:y val="0.92612814814814837"/>
            </c:manualLayout>
          </c:layout>
          <c:overlay val="1"/>
        </c:title>
        <c:numFmt formatCode="&quot;₩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561975</xdr:colOff>
      <xdr:row>7</xdr:row>
      <xdr:rowOff>95250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workbookViewId="0">
      <pane ySplit="3" topLeftCell="A4" activePane="bottomLeft" state="frozen"/>
      <selection pane="bottomLeft" activeCell="L14" sqref="L14"/>
    </sheetView>
  </sheetViews>
  <sheetFormatPr defaultRowHeight="15"/>
  <cols>
    <col min="1" max="1" width="22" customWidth="1"/>
    <col min="2" max="2" width="25" customWidth="1"/>
    <col min="3" max="3" width="4" customWidth="1"/>
    <col min="4" max="8" width="18" customWidth="1"/>
  </cols>
  <sheetData>
    <row r="1" spans="1:8" ht="36" customHeight="1">
      <c r="A1" s="20" t="s">
        <v>0</v>
      </c>
      <c r="B1" s="27"/>
      <c r="C1" s="27"/>
      <c r="D1" s="27"/>
      <c r="E1" s="27"/>
      <c r="F1" s="27"/>
      <c r="G1" s="27"/>
      <c r="H1" s="27"/>
    </row>
    <row r="2" spans="1:8">
      <c r="A2" s="16" t="s">
        <v>1</v>
      </c>
      <c r="B2" s="27"/>
      <c r="C2" s="27"/>
      <c r="D2" s="27"/>
      <c r="E2" s="27"/>
      <c r="F2" s="27"/>
      <c r="G2" s="27"/>
      <c r="H2" s="27"/>
    </row>
    <row r="4" spans="1:8">
      <c r="A4" s="14" t="s">
        <v>2</v>
      </c>
      <c r="B4" s="27"/>
      <c r="C4" s="22" t="s">
        <v>3</v>
      </c>
      <c r="D4" s="27"/>
      <c r="E4" s="17" t="s">
        <v>4</v>
      </c>
      <c r="F4" s="27"/>
      <c r="G4" s="27"/>
      <c r="H4" s="27"/>
    </row>
    <row r="5" spans="1:8">
      <c r="A5" s="19">
        <f>Calculations!B9</f>
        <v>1763905600</v>
      </c>
      <c r="B5" s="27"/>
      <c r="C5" s="18">
        <f>Calculations!C9</f>
        <v>1903081400</v>
      </c>
      <c r="D5" s="27"/>
      <c r="E5" s="21">
        <f>Calculations!B10</f>
        <v>139175800</v>
      </c>
      <c r="F5" s="27"/>
      <c r="G5" s="27"/>
      <c r="H5" s="27"/>
    </row>
    <row r="6" spans="1:8">
      <c r="A6" s="27"/>
      <c r="B6" s="27"/>
      <c r="C6" s="27"/>
      <c r="D6" s="27"/>
      <c r="E6" s="27"/>
      <c r="F6" s="27"/>
      <c r="G6" s="27"/>
      <c r="H6" s="27"/>
    </row>
    <row r="9" spans="1:8" ht="30.75">
      <c r="A9" s="1" t="s">
        <v>5</v>
      </c>
      <c r="B9" s="1" t="s">
        <v>6</v>
      </c>
    </row>
    <row r="10" spans="1:8" ht="21">
      <c r="A10" s="28" t="s">
        <v>7</v>
      </c>
      <c r="B10" s="29">
        <f>Calculations!B9</f>
        <v>1763905600</v>
      </c>
    </row>
    <row r="11" spans="1:8" ht="21">
      <c r="A11" s="28" t="s">
        <v>8</v>
      </c>
      <c r="B11" s="29">
        <f>Calculations!C9</f>
        <v>1903081400</v>
      </c>
    </row>
    <row r="15" spans="1:8" ht="33.950000000000003" customHeight="1"/>
    <row r="20" spans="1:8">
      <c r="A20" s="15" t="s">
        <v>9</v>
      </c>
      <c r="B20" s="15"/>
      <c r="C20" s="15"/>
      <c r="D20" s="15"/>
      <c r="E20" s="15"/>
      <c r="F20" s="15"/>
      <c r="G20" s="15"/>
      <c r="H20" s="15"/>
    </row>
    <row r="21" spans="1:8">
      <c r="A21" s="15"/>
      <c r="B21" s="15"/>
      <c r="C21" s="15"/>
      <c r="D21" s="15"/>
      <c r="E21" s="15"/>
      <c r="F21" s="15"/>
      <c r="G21" s="15"/>
      <c r="H21" s="15"/>
    </row>
  </sheetData>
  <mergeCells count="9">
    <mergeCell ref="A1:H1"/>
    <mergeCell ref="E5:H6"/>
    <mergeCell ref="C4:D4"/>
    <mergeCell ref="A20:H21"/>
    <mergeCell ref="A4:B4"/>
    <mergeCell ref="A2:H2"/>
    <mergeCell ref="E4:H4"/>
    <mergeCell ref="C5:D6"/>
    <mergeCell ref="A5:B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2" customWidth="1"/>
    <col min="2" max="2" width="18" customWidth="1"/>
    <col min="3" max="4" width="24" customWidth="1"/>
    <col min="5" max="5" width="25" customWidth="1"/>
    <col min="6" max="6" width="27" customWidth="1"/>
  </cols>
  <sheetData>
    <row r="1" spans="1:6">
      <c r="A1" s="24" t="s">
        <v>10</v>
      </c>
      <c r="B1" s="27"/>
      <c r="C1" s="27"/>
      <c r="D1" s="27"/>
      <c r="E1" s="27"/>
      <c r="F1" s="27"/>
    </row>
    <row r="2" spans="1:6">
      <c r="A2" s="16" t="s">
        <v>11</v>
      </c>
      <c r="B2" s="27"/>
      <c r="C2" s="27"/>
      <c r="D2" s="27"/>
      <c r="E2" s="27"/>
      <c r="F2" s="27"/>
    </row>
    <row r="4" spans="1:6" ht="38.1" customHeight="1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>
      <c r="A5" s="4" t="s">
        <v>18</v>
      </c>
      <c r="B5" s="4" t="s">
        <v>19</v>
      </c>
      <c r="C5" s="5">
        <v>1360000000</v>
      </c>
      <c r="D5" s="5">
        <v>4000000000</v>
      </c>
      <c r="E5" s="5">
        <v>10000000</v>
      </c>
      <c r="F5" s="5">
        <v>1372591000</v>
      </c>
    </row>
    <row r="6" spans="1:6">
      <c r="A6" s="4" t="s">
        <v>20</v>
      </c>
      <c r="B6" s="4" t="s">
        <v>21</v>
      </c>
      <c r="C6" s="5">
        <v>370000000</v>
      </c>
      <c r="D6" s="5">
        <v>2750000000</v>
      </c>
      <c r="E6" s="5">
        <v>10000000</v>
      </c>
      <c r="F6" s="5">
        <v>1229591000</v>
      </c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30" t="s">
        <v>22</v>
      </c>
      <c r="B9" s="31"/>
      <c r="C9" s="31"/>
      <c r="D9" s="6"/>
      <c r="E9" s="6"/>
      <c r="F9" s="6"/>
    </row>
    <row r="10" spans="1:6">
      <c r="A10" s="32" t="s">
        <v>23</v>
      </c>
      <c r="B10" s="32" t="s">
        <v>24</v>
      </c>
      <c r="C10" s="32" t="s">
        <v>25</v>
      </c>
      <c r="D10" s="6"/>
      <c r="E10" s="6"/>
      <c r="F10" s="6"/>
    </row>
    <row r="11" spans="1:6">
      <c r="A11" s="4" t="s">
        <v>26</v>
      </c>
      <c r="B11" s="4">
        <v>2027</v>
      </c>
      <c r="C11" s="5">
        <v>391314600</v>
      </c>
      <c r="D11" s="6"/>
      <c r="E11" s="6"/>
      <c r="F11" s="6"/>
    </row>
    <row r="12" spans="1:6">
      <c r="A12" s="4" t="s">
        <v>27</v>
      </c>
      <c r="B12" s="4">
        <v>2027</v>
      </c>
      <c r="C12" s="5">
        <v>673490400</v>
      </c>
      <c r="D12" s="6"/>
      <c r="E12" s="6"/>
      <c r="F12" s="6"/>
    </row>
    <row r="15" spans="1:6">
      <c r="A15" s="2" t="s">
        <v>28</v>
      </c>
    </row>
    <row r="16" spans="1:6" ht="39.950000000000003" customHeight="1">
      <c r="A16" s="23" t="s">
        <v>29</v>
      </c>
      <c r="B16" s="27"/>
      <c r="C16" s="27"/>
      <c r="D16" s="27"/>
      <c r="E16" s="27"/>
      <c r="F16" s="27"/>
    </row>
    <row r="17" spans="1:6">
      <c r="A17" s="27"/>
      <c r="B17" s="27"/>
      <c r="C17" s="27"/>
      <c r="D17" s="27"/>
      <c r="E17" s="27"/>
      <c r="F17" s="27"/>
    </row>
  </sheetData>
  <mergeCells count="4">
    <mergeCell ref="A2:F2"/>
    <mergeCell ref="A16:F17"/>
    <mergeCell ref="A1:F1"/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6" customWidth="1"/>
    <col min="2" max="3" width="23" customWidth="1"/>
    <col min="4" max="4" width="56" customWidth="1"/>
  </cols>
  <sheetData>
    <row r="1" spans="1:4" ht="36" customHeight="1">
      <c r="A1" s="25" t="s">
        <v>30</v>
      </c>
      <c r="B1" s="27"/>
      <c r="C1" s="27"/>
      <c r="D1" s="27"/>
    </row>
    <row r="2" spans="1:4" ht="21.95" customHeight="1">
      <c r="A2" s="26" t="s">
        <v>31</v>
      </c>
      <c r="B2" s="27"/>
      <c r="C2" s="27"/>
      <c r="D2" s="27"/>
    </row>
    <row r="3" spans="1:4" ht="27.95" customHeight="1">
      <c r="A3" s="3" t="s">
        <v>32</v>
      </c>
      <c r="B3" s="3" t="s">
        <v>7</v>
      </c>
      <c r="C3" s="3" t="s">
        <v>8</v>
      </c>
      <c r="D3" s="3" t="s">
        <v>33</v>
      </c>
    </row>
    <row r="4" spans="1:4" ht="24.95" customHeight="1">
      <c r="A4" s="7" t="s">
        <v>34</v>
      </c>
      <c r="B4" s="8" t="s">
        <v>18</v>
      </c>
      <c r="C4" s="8" t="s">
        <v>20</v>
      </c>
      <c r="D4" s="7" t="s">
        <v>35</v>
      </c>
    </row>
    <row r="5" spans="1:4" ht="24.95" customHeight="1">
      <c r="A5" s="4" t="s">
        <v>36</v>
      </c>
      <c r="B5" s="9">
        <f>Inputs!F5</f>
        <v>1372591000</v>
      </c>
      <c r="C5" s="9">
        <f>Inputs!F6</f>
        <v>1229591000</v>
      </c>
      <c r="D5" s="4" t="s">
        <v>37</v>
      </c>
    </row>
    <row r="6" spans="1:4" ht="24.95" customHeight="1">
      <c r="A6" s="7" t="s">
        <v>38</v>
      </c>
      <c r="B6" s="8" t="s">
        <v>20</v>
      </c>
      <c r="C6" s="8" t="s">
        <v>18</v>
      </c>
      <c r="D6" s="7" t="s">
        <v>35</v>
      </c>
    </row>
    <row r="7" spans="1:4" ht="24.95" customHeight="1">
      <c r="A7" s="4" t="s">
        <v>39</v>
      </c>
      <c r="B7" s="9">
        <f>Inputs!C11</f>
        <v>391314600</v>
      </c>
      <c r="C7" s="9">
        <f>Inputs!C12</f>
        <v>673490400</v>
      </c>
      <c r="D7" s="4" t="s">
        <v>40</v>
      </c>
    </row>
    <row r="8" spans="1:4" ht="24.95" customHeight="1">
      <c r="A8" s="7"/>
      <c r="B8" s="8"/>
      <c r="C8" s="8"/>
      <c r="D8" s="7"/>
    </row>
    <row r="9" spans="1:4" ht="24.95" customHeight="1">
      <c r="A9" s="10" t="s">
        <v>41</v>
      </c>
      <c r="B9" s="11">
        <f>B5+B7</f>
        <v>1763905600</v>
      </c>
      <c r="C9" s="11">
        <f>C5+C7</f>
        <v>1903081400</v>
      </c>
      <c r="D9" s="10" t="s">
        <v>42</v>
      </c>
    </row>
    <row r="10" spans="1:4" ht="24.95" customHeight="1">
      <c r="A10" s="12" t="s">
        <v>43</v>
      </c>
      <c r="B10" s="13">
        <f>C9-B9</f>
        <v>139175800</v>
      </c>
      <c r="C10" s="13">
        <f>C9-B9</f>
        <v>139175800</v>
      </c>
      <c r="D10" s="12" t="s">
        <v>44</v>
      </c>
    </row>
    <row r="11" spans="1:4" ht="24.95" customHeight="1">
      <c r="A11" s="7"/>
      <c r="B11" s="8"/>
      <c r="C11" s="8"/>
      <c r="D11" s="7"/>
    </row>
    <row r="12" spans="1:4" ht="24.95" customHeight="1">
      <c r="A12" s="4" t="s">
        <v>45</v>
      </c>
      <c r="B12" s="9">
        <f>Inputs!D5-Inputs!C5-Inputs!E5</f>
        <v>2630000000</v>
      </c>
      <c r="C12" s="9"/>
      <c r="D12" s="4" t="s">
        <v>46</v>
      </c>
    </row>
    <row r="13" spans="1:4" ht="24.95" customHeight="1">
      <c r="A13" s="4" t="s">
        <v>47</v>
      </c>
      <c r="B13" s="9">
        <f>Inputs!D6-Inputs!C6-Inputs!E6</f>
        <v>2370000000</v>
      </c>
      <c r="C13" s="9"/>
      <c r="D13" s="4" t="s">
        <v>46</v>
      </c>
    </row>
  </sheetData>
  <autoFilter ref="A3:D13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2026-10-20T04:40:12Z</dcterms:created>
  <dcterms:modified xsi:type="dcterms:W3CDTF">2026-10-20T05:26:49Z</dcterms:modified>
  <cp:category/>
  <cp:contentStatus/>
</cp:coreProperties>
</file>