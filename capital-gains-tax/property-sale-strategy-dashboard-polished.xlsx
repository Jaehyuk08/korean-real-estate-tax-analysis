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ulations" sheetId="3" state="visible" r:id="rId3"/>
  </sheets>
  <definedNames>
    <definedName name="_xlnm._FilterDatabase" localSheetId="2" hidden="1">'Calculations'!$A$3:$D$13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₩&quot;#,##0;[Red](&quot;₩&quot;#,##0)"/>
    <numFmt numFmtId="165" formatCode="&quot;₩&quot;#,##0"/>
  </numFmts>
  <fonts count="2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B6573"/>
    </font>
    <font>
      <b val="1"/>
      <color rgb="00FFFFFF"/>
    </font>
    <font>
      <b val="1"/>
      <color rgb="009C0006"/>
    </font>
    <font>
      <b val="1"/>
      <color rgb="00FFFFFF"/>
      <sz val="20"/>
    </font>
    <font>
      <i val="1"/>
      <color rgb="005B6573"/>
      <sz val="10"/>
    </font>
    <font>
      <b val="1"/>
      <color rgb="00FFFFFF"/>
      <sz val="10"/>
    </font>
    <font>
      <b val="1"/>
      <color rgb="000F9D8A"/>
      <sz val="16"/>
    </font>
    <font>
      <b val="1"/>
      <color rgb="004472C4"/>
      <sz val="16"/>
    </font>
    <font>
      <b val="1"/>
      <color rgb="00BF9000"/>
      <sz val="16"/>
    </font>
    <font>
      <i val="1"/>
      <color rgb="009C0006"/>
    </font>
    <font>
      <name val="Aptos Display"/>
      <b val="1"/>
      <color rgb="00FFFFFF"/>
      <sz val="18"/>
    </font>
    <font>
      <name val="Aptos"/>
      <i val="1"/>
      <color rgb="0064748B"/>
      <sz val="10"/>
    </font>
    <font>
      <name val="Aptos"/>
      <b val="1"/>
      <color rgb="00FFFFFF"/>
      <sz val="10"/>
    </font>
    <font>
      <name val="Aptos"/>
      <color rgb="00243247"/>
      <sz val="10"/>
    </font>
    <font>
      <name val="Aptos"/>
      <b val="1"/>
      <color rgb="000F766E"/>
      <sz val="10"/>
    </font>
    <font>
      <name val="Aptos"/>
      <b val="1"/>
      <color rgb="0017365D"/>
      <sz val="10"/>
    </font>
    <font>
      <name val="Aptos Display"/>
      <b val="1"/>
      <color rgb="00FFFFFF"/>
      <sz val="16"/>
    </font>
    <font>
      <name val="Aptos"/>
      <b val="1"/>
      <color rgb="009C0006"/>
      <sz val="10"/>
    </font>
    <font>
      <name val="Aptos Display"/>
      <b val="1"/>
      <color rgb="00FFFFFF"/>
      <sz val="20"/>
    </font>
    <font>
      <name val="Aptos"/>
      <i val="1"/>
      <color rgb="009C0006"/>
      <sz val="10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0F9D8A"/>
      </patternFill>
    </fill>
    <fill>
      <patternFill patternType="solid">
        <fgColor rgb="00DDEFEA"/>
      </patternFill>
    </fill>
    <fill>
      <patternFill patternType="solid">
        <fgColor rgb="00D9EAF7"/>
      </patternFill>
    </fill>
    <fill>
      <patternFill patternType="solid">
        <fgColor rgb="00BF9000"/>
      </patternFill>
    </fill>
    <fill>
      <patternFill patternType="solid">
        <fgColor rgb="00FFF2CC"/>
      </patternFill>
    </fill>
    <fill>
      <patternFill patternType="solid">
        <fgColor rgb="00F1F5F9"/>
      </patternFill>
    </fill>
    <fill>
      <patternFill patternType="solid">
        <fgColor rgb="00EAF2F8"/>
      </patternFill>
    </fill>
  </fills>
  <borders count="8">
    <border>
      <left/>
      <right/>
      <top/>
      <bottom/>
      <diagonal/>
    </border>
    <border>
      <bottom style="thin">
        <color rgb="00D6DEE8"/>
      </bottom>
    </border>
    <border>
      <left/>
      <right/>
      <top/>
      <bottom style="thin">
        <color rgb="00D6DEE8"/>
      </bottom>
      <diagonal/>
    </border>
    <border>
      <bottom style="medium">
        <color rgb="0017365D"/>
      </bottom>
    </border>
    <border>
      <bottom style="thin">
        <color rgb="00D9E2F0"/>
      </bottom>
    </border>
    <border>
      <top style="thin">
        <color rgb="000F766E"/>
      </top>
      <bottom style="thin">
        <color rgb="000F766E"/>
      </bottom>
    </border>
    <border>
      <top style="thin">
        <color rgb="004472C4"/>
      </top>
      <bottom style="thin">
        <color rgb="004472C4"/>
      </bottom>
    </border>
    <border>
      <top style="thin">
        <color rgb="00D9E2F0"/>
      </top>
      <bottom style="thin">
        <color rgb="00D9E2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164" fontId="8" fillId="6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164" fontId="10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20" fillId="2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21" fillId="4" borderId="0" applyAlignment="1" pivotButton="0" quotePrefix="0" xfId="0">
      <alignment vertical="center" wrapText="1"/>
    </xf>
    <xf numFmtId="0" fontId="18" fillId="2" borderId="0" applyAlignment="1" pivotButton="0" quotePrefix="0" xfId="0">
      <alignment vertical="center" wrapText="1"/>
    </xf>
    <xf numFmtId="0" fontId="14" fillId="3" borderId="3" applyAlignment="1" pivotButton="0" quotePrefix="0" xfId="0">
      <alignment vertical="center" wrapText="1"/>
    </xf>
    <xf numFmtId="0" fontId="15" fillId="0" borderId="4" applyAlignment="1" pivotButton="0" quotePrefix="0" xfId="0">
      <alignment vertical="center" wrapText="1"/>
    </xf>
    <xf numFmtId="165" fontId="15" fillId="0" borderId="4" applyAlignment="1" pivotButton="0" quotePrefix="0" xfId="0">
      <alignment vertical="center" wrapText="1"/>
    </xf>
    <xf numFmtId="0" fontId="0" fillId="0" borderId="2" pivotButton="0" quotePrefix="0" xfId="0"/>
    <xf numFmtId="0" fontId="14" fillId="3" borderId="1" applyAlignment="1" pivotButton="0" quotePrefix="0" xfId="0">
      <alignment wrapText="1"/>
    </xf>
    <xf numFmtId="0" fontId="19" fillId="4" borderId="7" applyAlignment="1" pivotButton="0" quotePrefix="0" xfId="0">
      <alignment vertical="top" wrapText="1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5" fillId="10" borderId="4" applyAlignment="1" pivotButton="0" quotePrefix="0" xfId="0">
      <alignment vertical="center" wrapText="1"/>
    </xf>
    <xf numFmtId="0" fontId="15" fillId="10" borderId="4" applyAlignment="1" pivotButton="0" quotePrefix="0" xfId="0">
      <alignment horizontal="right" vertical="center"/>
    </xf>
    <xf numFmtId="164" fontId="15" fillId="0" borderId="4" applyAlignment="1" pivotButton="0" quotePrefix="0" xfId="0">
      <alignment horizontal="right" vertical="center"/>
    </xf>
    <xf numFmtId="0" fontId="16" fillId="6" borderId="5" applyAlignment="1" pivotButton="0" quotePrefix="0" xfId="0">
      <alignment vertical="center" wrapText="1"/>
    </xf>
    <xf numFmtId="164" fontId="16" fillId="6" borderId="5" applyAlignment="1" pivotButton="0" quotePrefix="0" xfId="0">
      <alignment horizontal="right" vertical="center"/>
    </xf>
    <xf numFmtId="0" fontId="17" fillId="11" borderId="6" applyAlignment="1" pivotButton="0" quotePrefix="0" xfId="0">
      <alignment vertical="center" wrapText="1"/>
    </xf>
    <xf numFmtId="164" fontId="17" fillId="11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Combined Tax by Strategy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'Dashboard'!$A$10:$A$11</f>
            </numRef>
          </cat>
          <val>
            <numRef>
              <f>'Dashboard'!$B$10:$B$11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Estimated Tax (KRW)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22" t="inlineStr">
        <is>
          <t>PROPERTY SALE STRATEGY DASHBOARD</t>
        </is>
      </c>
    </row>
    <row r="2">
      <c r="A2" s="23" t="inlineStr">
        <is>
          <t>Preliminary calculator estimates | KRW | Not independently verified</t>
        </is>
      </c>
    </row>
    <row r="4">
      <c r="A4" s="3" t="inlineStr">
        <is>
          <t>STRATEGY A TAX</t>
        </is>
      </c>
      <c r="C4" s="4" t="inlineStr">
        <is>
          <t>STRATEGY B TAX</t>
        </is>
      </c>
      <c r="E4" s="5" t="inlineStr">
        <is>
          <t>TAX DIFFERENCE (B − A)</t>
        </is>
      </c>
    </row>
    <row r="5">
      <c r="A5" s="6">
        <f>Calculations!B9</f>
        <v/>
      </c>
      <c r="C5" s="7">
        <f>Calculations!C9</f>
        <v/>
      </c>
      <c r="E5" s="8">
        <f>Calculations!B10</f>
        <v/>
      </c>
    </row>
    <row r="6"/>
    <row r="9">
      <c r="A9" s="9" t="inlineStr">
        <is>
          <t>Strategy</t>
        </is>
      </c>
      <c r="B9" s="9" t="inlineStr">
        <is>
          <t>Estimated Combined Tax (KRW)</t>
        </is>
      </c>
    </row>
    <row r="10">
      <c r="A10" s="10" t="inlineStr">
        <is>
          <t>Strategy A</t>
        </is>
      </c>
      <c r="B10" s="11">
        <f>Calculations!B9</f>
        <v/>
      </c>
    </row>
    <row r="11">
      <c r="A11" s="10" t="inlineStr">
        <is>
          <t>Strategy B</t>
        </is>
      </c>
      <c r="B11" s="11">
        <f>Calculations!C9</f>
        <v/>
      </c>
    </row>
    <row r="15" ht="34" customHeight="1">
      <c r="A15" s="24" t="inlineStr">
        <is>
          <t>Preliminary calculator estimates only. Actual tax treatment, deductions, eligibility, and sale-date rules have not been independently verified.</t>
        </is>
      </c>
    </row>
    <row r="16"/>
  </sheetData>
  <mergeCells count="9">
    <mergeCell ref="A4:B4"/>
    <mergeCell ref="A15:H16"/>
    <mergeCell ref="A2:H2"/>
    <mergeCell ref="E4:H4"/>
    <mergeCell ref="C5:D6"/>
    <mergeCell ref="A5:B6"/>
    <mergeCell ref="A1:H1"/>
    <mergeCell ref="E5:H6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4" customWidth="1" min="3" max="3"/>
    <col width="24" customWidth="1" min="4" max="4"/>
    <col width="25" customWidth="1" min="5" max="5"/>
    <col width="27" customWidth="1" min="6" max="6"/>
  </cols>
  <sheetData>
    <row r="1">
      <c r="A1" s="25" t="inlineStr">
        <is>
          <t>PROPERTY SALE STRATEGY ANALYSIS — INPUTS</t>
        </is>
      </c>
    </row>
    <row r="2">
      <c r="A2" s="23" t="inlineStr">
        <is>
          <t>Editable assumptions and preliminary calculator outputs. Currency: KRW.</t>
        </is>
      </c>
    </row>
    <row r="4" ht="38" customHeight="1">
      <c r="A4" s="26" t="inlineStr">
        <is>
          <t>Property</t>
        </is>
      </c>
      <c r="B4" s="26" t="inlineStr">
        <is>
          <t>Acquisition Date</t>
        </is>
      </c>
      <c r="C4" s="26" t="inlineStr">
        <is>
          <t>Acquisition Price (KRW)</t>
        </is>
      </c>
      <c r="D4" s="26" t="inlineStr">
        <is>
          <t>Assumed Sale Price (KRW)</t>
        </is>
      </c>
      <c r="E4" s="26" t="inlineStr">
        <is>
          <t>Deductible Expenses (KRW)</t>
        </is>
      </c>
      <c r="F4" s="26" t="inlineStr">
        <is>
          <t>Estimated Calculator Tax (KRW)</t>
        </is>
      </c>
    </row>
    <row r="5">
      <c r="A5" s="27" t="inlineStr">
        <is>
          <t>Hillstate</t>
        </is>
      </c>
      <c r="B5" s="27" t="inlineStr">
        <is>
          <t>2018-01-30</t>
        </is>
      </c>
      <c r="C5" s="28" t="n">
        <v>1360000000</v>
      </c>
      <c r="D5" s="28" t="n">
        <v>4000000000</v>
      </c>
      <c r="E5" s="28" t="n">
        <v>10000000</v>
      </c>
      <c r="F5" s="28" t="n">
        <v>1372591000</v>
      </c>
    </row>
    <row r="6">
      <c r="A6" s="27" t="inlineStr">
        <is>
          <t>Jungang Heights</t>
        </is>
      </c>
      <c r="B6" s="27" t="inlineStr">
        <is>
          <t>2008-09-16</t>
        </is>
      </c>
      <c r="C6" s="28" t="n">
        <v>370000000</v>
      </c>
      <c r="D6" s="28" t="n">
        <v>2750000000</v>
      </c>
      <c r="E6" s="28" t="n">
        <v>10000000</v>
      </c>
      <c r="F6" s="28" t="n">
        <v>1229591000</v>
      </c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8" t="inlineStr">
        <is>
          <t>Second-sale calculator outputs (scenario-specific)</t>
        </is>
      </c>
      <c r="B9" s="29" t="n"/>
      <c r="C9" s="29" t="n"/>
      <c r="D9" s="17" t="n"/>
      <c r="E9" s="17" t="n"/>
      <c r="F9" s="17" t="n"/>
    </row>
    <row r="10">
      <c r="A10" s="30" t="inlineStr">
        <is>
          <t>Scenario</t>
        </is>
      </c>
      <c r="B10" s="30" t="inlineStr">
        <is>
          <t>Sale Year</t>
        </is>
      </c>
      <c r="C10" s="30" t="inlineStr">
        <is>
          <t>Estimated Tax (KRW)</t>
        </is>
      </c>
      <c r="D10" s="17" t="n"/>
      <c r="E10" s="17" t="n"/>
      <c r="F10" s="17" t="n"/>
    </row>
    <row r="11">
      <c r="A11" s="27" t="inlineStr">
        <is>
          <t>Jungang Heights sold second (Strategy A)</t>
        </is>
      </c>
      <c r="B11" s="27" t="n">
        <v>2027</v>
      </c>
      <c r="C11" s="28" t="n">
        <v>391314600</v>
      </c>
      <c r="D11" s="17" t="n"/>
      <c r="E11" s="17" t="n"/>
      <c r="F11" s="17" t="n"/>
    </row>
    <row r="12">
      <c r="A12" s="27" t="inlineStr">
        <is>
          <t>Hillstate sold second (Strategy B)</t>
        </is>
      </c>
      <c r="B12" s="27" t="n">
        <v>2027</v>
      </c>
      <c r="C12" s="28" t="n">
        <v>673490400</v>
      </c>
      <c r="D12" s="17" t="n"/>
      <c r="E12" s="17" t="n"/>
      <c r="F12" s="17" t="n"/>
    </row>
    <row r="15">
      <c r="A15" s="20" t="inlineStr">
        <is>
          <t>Important note</t>
        </is>
      </c>
    </row>
    <row r="16" ht="40" customHeight="1">
      <c r="A16" s="31" t="inlineStr">
        <is>
          <t>All tax values are preliminary calculator estimates, not independently verified tax liabilities. Scenario assumptions and eligibility must be verified.</t>
        </is>
      </c>
    </row>
    <row r="17"/>
  </sheetData>
  <mergeCells count="4">
    <mergeCell ref="A2:F2"/>
    <mergeCell ref="A16:F17"/>
    <mergeCell ref="A1:F1"/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56" customWidth="1" min="4" max="4"/>
  </cols>
  <sheetData>
    <row r="1" ht="36" customHeight="1">
      <c r="A1" s="32" t="inlineStr">
        <is>
          <t>STRATEGY CALCULATIONS</t>
        </is>
      </c>
    </row>
    <row r="2" ht="22" customHeight="1">
      <c r="A2" s="33" t="inlineStr">
        <is>
          <t>Property sale scenarios | Preliminary calculator estimates | Currency: KRW</t>
        </is>
      </c>
    </row>
    <row r="3" ht="28" customHeight="1">
      <c r="A3" s="26" t="inlineStr">
        <is>
          <t>Metric</t>
        </is>
      </c>
      <c r="B3" s="26" t="inlineStr">
        <is>
          <t>Strategy A</t>
        </is>
      </c>
      <c r="C3" s="26" t="inlineStr">
        <is>
          <t>Strategy B</t>
        </is>
      </c>
      <c r="D3" s="26" t="inlineStr">
        <is>
          <t>Notes</t>
        </is>
      </c>
    </row>
    <row r="4" ht="25" customHeight="1">
      <c r="A4" s="34" t="inlineStr">
        <is>
          <t>First property sold in 2026</t>
        </is>
      </c>
      <c r="B4" s="35" t="inlineStr">
        <is>
          <t>Hillstate</t>
        </is>
      </c>
      <c r="C4" s="35" t="inlineStr">
        <is>
          <t>Jungang Heights</t>
        </is>
      </c>
      <c r="D4" s="34" t="inlineStr">
        <is>
          <t>Sale order scenario</t>
        </is>
      </c>
    </row>
    <row r="5" ht="25" customHeight="1">
      <c r="A5" s="27" t="inlineStr">
        <is>
          <t>Estimated tax on first sale</t>
        </is>
      </c>
      <c r="B5" s="36">
        <f>Inputs!F5</f>
        <v/>
      </c>
      <c r="C5" s="36">
        <f>Inputs!F6</f>
        <v/>
      </c>
      <c r="D5" s="27" t="inlineStr">
        <is>
          <t>Preliminary calculator estimate</t>
        </is>
      </c>
    </row>
    <row r="6" ht="25" customHeight="1">
      <c r="A6" s="34" t="inlineStr">
        <is>
          <t>Second property sold in 2027</t>
        </is>
      </c>
      <c r="B6" s="35" t="inlineStr">
        <is>
          <t>Jungang Heights</t>
        </is>
      </c>
      <c r="C6" s="35" t="inlineStr">
        <is>
          <t>Hillstate</t>
        </is>
      </c>
      <c r="D6" s="34" t="inlineStr">
        <is>
          <t>Sale order scenario</t>
        </is>
      </c>
    </row>
    <row r="7" ht="25" customHeight="1">
      <c r="A7" s="27" t="inlineStr">
        <is>
          <t>Estimated tax on second sale</t>
        </is>
      </c>
      <c r="B7" s="36">
        <f>Inputs!C11</f>
        <v/>
      </c>
      <c r="C7" s="36">
        <f>Inputs!C12</f>
        <v/>
      </c>
      <c r="D7" s="27" t="inlineStr">
        <is>
          <t>Preliminary calculator estimate for the second sale</t>
        </is>
      </c>
    </row>
    <row r="8" ht="25" customHeight="1">
      <c r="A8" s="34" t="n"/>
      <c r="B8" s="35" t="n"/>
      <c r="C8" s="35" t="n"/>
      <c r="D8" s="34" t="n"/>
    </row>
    <row r="9" ht="25" customHeight="1">
      <c r="A9" s="37" t="inlineStr">
        <is>
          <t>Combined estimated tax</t>
        </is>
      </c>
      <c r="B9" s="38">
        <f>B5+B7</f>
        <v/>
      </c>
      <c r="C9" s="38">
        <f>C5+C7</f>
        <v/>
      </c>
      <c r="D9" s="37" t="inlineStr">
        <is>
          <t>Sum of the two sale estimates</t>
        </is>
      </c>
    </row>
    <row r="10" ht="25" customHeight="1">
      <c r="A10" s="39" t="inlineStr">
        <is>
          <t>Difference (Strategy B - A)</t>
        </is>
      </c>
      <c r="B10" s="40">
        <f>C9-B9</f>
        <v/>
      </c>
      <c r="C10" s="40">
        <f>C9-B9</f>
        <v/>
      </c>
      <c r="D10" s="39" t="inlineStr">
        <is>
          <t>Positive amount means Strategy B has higher estimated tax</t>
        </is>
      </c>
    </row>
    <row r="11" ht="25" customHeight="1">
      <c r="A11" s="34" t="n"/>
      <c r="B11" s="35" t="n"/>
      <c r="C11" s="35" t="n"/>
      <c r="D11" s="34" t="n"/>
    </row>
    <row r="12" ht="25" customHeight="1">
      <c r="A12" s="27" t="inlineStr">
        <is>
          <t>Hillstate assumed capital gain</t>
        </is>
      </c>
      <c r="B12" s="36">
        <f>Inputs!D5-Inputs!C5-Inputs!E5</f>
        <v/>
      </c>
      <c r="C12" s="36" t="n"/>
      <c r="D12" s="27" t="inlineStr">
        <is>
          <t>Sale price − acquisition price − assumed expenses</t>
        </is>
      </c>
    </row>
    <row r="13" ht="25" customHeight="1">
      <c r="A13" s="27" t="inlineStr">
        <is>
          <t>Jungang Heights assumed capital gain</t>
        </is>
      </c>
      <c r="B13" s="36">
        <f>Inputs!D6-Inputs!C6-Inputs!E6</f>
        <v/>
      </c>
      <c r="C13" s="36" t="n"/>
      <c r="D13" s="27" t="inlineStr">
        <is>
          <t>Sale price − acquisition price − assumed expenses</t>
        </is>
      </c>
    </row>
  </sheetData>
  <autoFilter ref="A3:D1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2026-10-20T04:40:12Z</dcterms:created>
  <dcterms:modified xmlns:dcterms="http://purl.org/dc/terms/" xmlns:xsi="http://www.w3.org/2001/XMLSchema-instance" xsi:type="dcterms:W3CDTF">2026-10-20T05:13:00Z</dcterms:modified>
</cp:coreProperties>
</file>